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fety_Pream\Desktop\dashboard\"/>
    </mc:Choice>
  </mc:AlternateContent>
  <xr:revisionPtr revIDLastSave="0" documentId="13_ncr:1_{B7515DD2-D41B-4061-98C8-B311A0AE068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nagement_Dashboard" sheetId="1" r:id="rId1"/>
    <sheet name="Source_Data" sheetId="2" r:id="rId2"/>
  </sheets>
  <definedNames>
    <definedName name="_xlnm._FilterDatabase" localSheetId="0" hidden="1">Management_Dashboard!$A$4:$I$15</definedName>
    <definedName name="_xlnm.Print_Titles" localSheetId="0">Management_Dashboard!$1:$4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C14" i="1"/>
  <c r="C13" i="1"/>
  <c r="C11" i="1"/>
  <c r="C10" i="1"/>
  <c r="C9" i="1"/>
  <c r="B15" i="1"/>
  <c r="B14" i="1"/>
  <c r="B13" i="1"/>
  <c r="I11" i="1"/>
  <c r="B11" i="1"/>
  <c r="E10" i="1"/>
  <c r="B10" i="1"/>
  <c r="E9" i="1"/>
  <c r="B9" i="1"/>
  <c r="B8" i="1"/>
  <c r="F6" i="1"/>
  <c r="F5" i="1"/>
  <c r="I8" i="1" l="1"/>
  <c r="F7" i="1"/>
  <c r="I7" i="1"/>
  <c r="F9" i="1"/>
  <c r="I9" i="1"/>
  <c r="F11" i="1"/>
  <c r="F14" i="1"/>
  <c r="F10" i="1"/>
  <c r="I10" i="1"/>
  <c r="F15" i="1"/>
  <c r="I6" i="1"/>
  <c r="F8" i="1"/>
  <c r="F13" i="1"/>
  <c r="I5" i="1"/>
</calcChain>
</file>

<file path=xl/sharedStrings.xml><?xml version="1.0" encoding="utf-8"?>
<sst xmlns="http://schemas.openxmlformats.org/spreadsheetml/2006/main" count="77" uniqueCount="43">
  <si>
    <t>Daily communication for SKK Corporate Office | Zero Harm • Safe Productivity • Performance Excellence</t>
  </si>
  <si>
    <t>LTI/MTI Act</t>
  </si>
  <si>
    <t>OP Tgt (m)</t>
  </si>
  <si>
    <t>OP Act (m)</t>
  </si>
  <si>
    <t>OP Achv %</t>
  </si>
  <si>
    <t>MD Tgt (m)</t>
  </si>
  <si>
    <t>MD Act (m)</t>
  </si>
  <si>
    <t>MD Achv %</t>
  </si>
  <si>
    <t xml:space="preserve">          DATE :-30/3/2025</t>
  </si>
  <si>
    <t>SK KHETAN GROUP                  ZERO HARM - SAFE PRODUCTIVITY</t>
  </si>
  <si>
    <t>Dashboard sheet auto-links to this source data.</t>
  </si>
  <si>
    <t>KAYAD</t>
  </si>
  <si>
    <t>MOCHIA</t>
  </si>
  <si>
    <t xml:space="preserve">BALARIA </t>
  </si>
  <si>
    <t>BAROI</t>
  </si>
  <si>
    <t>RDM</t>
  </si>
  <si>
    <t>KHETRI</t>
  </si>
  <si>
    <t>KENDADIH</t>
  </si>
  <si>
    <t xml:space="preserve">ZAWAR S.X </t>
  </si>
  <si>
    <t>ZAWAR UG.X</t>
  </si>
  <si>
    <t>KAYAD S.X</t>
  </si>
  <si>
    <t>TGT</t>
  </si>
  <si>
    <t>ACT</t>
  </si>
  <si>
    <t>%</t>
  </si>
  <si>
    <t>LTI/  MTI</t>
  </si>
  <si>
    <t>OP(m)</t>
  </si>
  <si>
    <t>MD(m)</t>
  </si>
  <si>
    <t xml:space="preserve">                                                                                                                                                                                                     “Be the change you wish to see in the world.”
                                                                                                                                                                         “वह बदलाव बनें जो आप दुनिया में देखना चाहते हैं।”</t>
  </si>
  <si>
    <t xml:space="preserve">KAYAD </t>
  </si>
  <si>
    <t>BALARIA</t>
  </si>
  <si>
    <t>ZAWAR S EX</t>
  </si>
  <si>
    <t>KAYAD S EX</t>
  </si>
  <si>
    <t>Mines Site</t>
  </si>
  <si>
    <t>Exploration  Site</t>
  </si>
  <si>
    <t>DD Tgt (m)</t>
  </si>
  <si>
    <t>DD Act (m)</t>
  </si>
  <si>
    <t>DD Achv %</t>
  </si>
  <si>
    <t>Date</t>
  </si>
  <si>
    <t>FAC Act</t>
  </si>
  <si>
    <t>S K KHETAN GROUP – DAILY MANAGEMENT DASHBOARD</t>
  </si>
  <si>
    <r>
      <rPr>
        <b/>
        <i/>
        <sz val="22"/>
        <color rgb="FFC00000"/>
        <rFont val="Calibri"/>
        <family val="2"/>
      </rPr>
      <t xml:space="preserve">“It always seems impossible until it’s done.”  </t>
    </r>
    <r>
      <rPr>
        <b/>
        <i/>
        <sz val="20"/>
        <color rgb="FFC00000"/>
        <rFont val="Calibri"/>
        <family val="2"/>
      </rPr>
      <t xml:space="preserve">                                             </t>
    </r>
  </si>
  <si>
    <r>
      <t xml:space="preserve">KHETRI </t>
    </r>
    <r>
      <rPr>
        <b/>
        <sz val="10"/>
        <color rgb="FFFF0000"/>
        <rFont val="Calibri"/>
        <family val="2"/>
      </rPr>
      <t>(10/04/2026)</t>
    </r>
  </si>
  <si>
    <t>12.04.2026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</si>
</sst>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;\-#,##0.0;\–"/>
  </numFmts>
  <fonts count="23" x14ac:knownFonts="1">
    <font>
      <sz val="11"/>
      <color theme="1"/>
      <name val="Calibri"/>
      <family val="2"/>
      <scheme val="minor"/>
    </font>
    <font>
      <sz val="18"/>
      <name val="Arial"/>
      <family val="2"/>
    </font>
    <font>
      <sz val="14"/>
      <color rgb="FF203864"/>
      <name val="Calibri"/>
      <family val="2"/>
    </font>
    <font>
      <b/>
      <sz val="18"/>
      <color rgb="FF203864"/>
      <name val="Calibri"/>
      <family val="2"/>
    </font>
    <font>
      <b/>
      <i/>
      <sz val="14"/>
      <color rgb="FF203864"/>
      <name val="Calibri"/>
      <family val="2"/>
    </font>
    <font>
      <b/>
      <sz val="14"/>
      <color rgb="FF203864"/>
      <name val="Calibri"/>
      <family val="2"/>
    </font>
    <font>
      <b/>
      <sz val="14"/>
      <color rgb="FF203864"/>
      <name val="Arial"/>
      <family val="2"/>
    </font>
    <font>
      <b/>
      <sz val="14"/>
      <color theme="3"/>
      <name val="Calibri"/>
      <family val="2"/>
      <scheme val="minor"/>
    </font>
    <font>
      <sz val="16"/>
      <color rgb="FFFFD966"/>
      <name val="Calibri"/>
      <family val="2"/>
    </font>
    <font>
      <b/>
      <sz val="14"/>
      <color rgb="FF203864"/>
      <name val="Calibri"/>
      <family val="2"/>
    </font>
    <font>
      <b/>
      <sz val="16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1F1F1F"/>
      <name val="Calibri"/>
      <family val="2"/>
    </font>
    <font>
      <b/>
      <sz val="10"/>
      <color rgb="FF1F4E78"/>
      <name val="Calibri"/>
      <family val="2"/>
    </font>
    <font>
      <i/>
      <sz val="9"/>
      <color rgb="FF44546A"/>
      <name val="Calibri"/>
      <family val="2"/>
    </font>
    <font>
      <sz val="10"/>
      <color rgb="FF1F1F1F"/>
      <name val="Calibri"/>
      <family val="2"/>
    </font>
    <font>
      <b/>
      <sz val="10"/>
      <color rgb="FFFFFFFF"/>
      <name val="Calibri"/>
      <family val="2"/>
    </font>
    <font>
      <b/>
      <sz val="12"/>
      <color rgb="FFFFFF00"/>
      <name val="Calibri"/>
      <family val="2"/>
    </font>
    <font>
      <b/>
      <i/>
      <sz val="20"/>
      <color rgb="FFC00000"/>
      <name val="Calibri"/>
      <family val="2"/>
    </font>
    <font>
      <b/>
      <sz val="20"/>
      <color rgb="FFC00000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0000"/>
      <name val="Calibri"/>
      <family val="2"/>
    </font>
    <font>
      <b/>
      <i/>
      <sz val="22"/>
      <color rgb="FFC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B3A63"/>
      </patternFill>
    </fill>
    <fill>
      <patternFill patternType="solid">
        <fgColor rgb="FF1F4E78"/>
      </patternFill>
    </fill>
    <fill>
      <patternFill patternType="solid">
        <fgColor rgb="FF44546A"/>
      </patternFill>
    </fill>
    <fill>
      <patternFill patternType="solid">
        <fgColor rgb="FFFFFFFF"/>
      </patternFill>
    </fill>
    <fill>
      <patternFill patternType="solid">
        <fgColor rgb="FFFBFDFF"/>
      </patternFill>
    </fill>
    <fill>
      <patternFill patternType="solid">
        <fgColor rgb="FFF5F9FC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C4D3"/>
      </left>
      <right style="thin">
        <color rgb="FFB7C4D3"/>
      </right>
      <top style="thin">
        <color rgb="FFB7C4D3"/>
      </top>
      <bottom style="thin">
        <color rgb="FFB7C4D3"/>
      </bottom>
      <diagonal/>
    </border>
    <border>
      <left/>
      <right/>
      <top/>
      <bottom style="medium">
        <color rgb="FF1F4E78"/>
      </bottom>
      <diagonal/>
    </border>
    <border>
      <left style="thin">
        <color rgb="FFB7C4D3"/>
      </left>
      <right style="thin">
        <color rgb="FFB7C4D3"/>
      </right>
      <top style="thin">
        <color rgb="FFB7C4D3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5" borderId="13" xfId="0" applyFill="1" applyBorder="1"/>
    <xf numFmtId="0" fontId="11" fillId="4" borderId="12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left" vertical="center"/>
    </xf>
    <xf numFmtId="165" fontId="12" fillId="6" borderId="12" xfId="0" applyNumberFormat="1" applyFont="1" applyFill="1" applyBorder="1" applyAlignment="1">
      <alignment horizontal="center" vertical="center"/>
    </xf>
    <xf numFmtId="164" fontId="12" fillId="6" borderId="12" xfId="0" applyNumberFormat="1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left" vertical="center"/>
    </xf>
    <xf numFmtId="165" fontId="12" fillId="7" borderId="12" xfId="0" applyNumberFormat="1" applyFont="1" applyFill="1" applyBorder="1" applyAlignment="1">
      <alignment horizontal="center" vertical="center"/>
    </xf>
    <xf numFmtId="164" fontId="12" fillId="7" borderId="12" xfId="0" applyNumberFormat="1" applyFont="1" applyFill="1" applyBorder="1" applyAlignment="1">
      <alignment horizontal="center" vertical="center"/>
    </xf>
    <xf numFmtId="0" fontId="14" fillId="0" borderId="0" xfId="0" applyFont="1"/>
    <xf numFmtId="0" fontId="12" fillId="6" borderId="12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165" fontId="15" fillId="6" borderId="12" xfId="0" applyNumberFormat="1" applyFont="1" applyFill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0" fontId="13" fillId="7" borderId="14" xfId="0" applyFont="1" applyFill="1" applyBorder="1" applyAlignment="1">
      <alignment horizontal="left" vertical="center"/>
    </xf>
    <xf numFmtId="0" fontId="12" fillId="7" borderId="14" xfId="0" applyFont="1" applyFill="1" applyBorder="1" applyAlignment="1">
      <alignment horizontal="center" vertical="center"/>
    </xf>
    <xf numFmtId="165" fontId="12" fillId="7" borderId="14" xfId="0" applyNumberFormat="1" applyFont="1" applyFill="1" applyBorder="1" applyAlignment="1">
      <alignment horizontal="center" vertical="center"/>
    </xf>
    <xf numFmtId="164" fontId="12" fillId="7" borderId="14" xfId="0" applyNumberFormat="1" applyFont="1" applyFill="1" applyBorder="1" applyAlignment="1">
      <alignment horizontal="center" vertical="center"/>
    </xf>
    <xf numFmtId="0" fontId="12" fillId="0" borderId="0" xfId="0" applyFont="1"/>
    <xf numFmtId="0" fontId="18" fillId="0" borderId="15" xfId="0" applyFont="1" applyBorder="1" applyAlignment="1">
      <alignment horizontal="left" vertical="top" wrapText="1" indent="9"/>
    </xf>
    <xf numFmtId="0" fontId="19" fillId="0" borderId="16" xfId="0" applyFont="1" applyBorder="1" applyAlignment="1">
      <alignment horizontal="left" vertical="top" wrapText="1" indent="9"/>
    </xf>
    <xf numFmtId="0" fontId="19" fillId="0" borderId="17" xfId="0" applyFont="1" applyBorder="1" applyAlignment="1">
      <alignment horizontal="left" vertical="top" wrapText="1" indent="9"/>
    </xf>
    <xf numFmtId="0" fontId="20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/>
    <xf numFmtId="0" fontId="1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0" xfId="0" applyBorder="1"/>
    <xf numFmtId="0" fontId="0" fillId="0" borderId="11" xfId="0" applyBorder="1"/>
    <xf numFmtId="0" fontId="5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4" xfId="0" applyBorder="1"/>
    <xf numFmtId="0" fontId="0" fillId="0" borderId="0" xfId="0"/>
    <xf numFmtId="0" fontId="0" fillId="0" borderId="5" xfId="0" applyBorder="1"/>
    <xf numFmtId="0" fontId="0" fillId="0" borderId="7" xfId="0" applyBorder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6"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96fe72710c04479e" Type="http://schemas.microsoft.com/office/2017/10/relationships/person" Target="persons/person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31</xdr:row>
      <xdr:rowOff>66675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31DFE861-E35C-5E5D-309F-0087D45288F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0</xdr:colOff>
      <xdr:row>31</xdr:row>
      <xdr:rowOff>66675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988F26D5-206C-A9F9-FEB9-477C4A9B498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725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1FBABF3B-A99B-6069-E377-F9498861F2B0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L16"/>
  <sheetViews>
    <sheetView showGridLines="0" tabSelected="1" zoomScale="88" zoomScaleNormal="115" workbookViewId="0">
      <selection activeCell="K8" sqref="K8"/>
    </sheetView>
  </sheetViews>
  <sheetFormatPr defaultRowHeight="14.5" x14ac:dyDescent="0.35"/>
  <cols>
    <col min="1" max="1" width="18" customWidth="1"/>
    <col min="2" max="3" width="9.81640625" bestFit="1" customWidth="1"/>
    <col min="4" max="4" width="9.26953125" bestFit="1" customWidth="1"/>
    <col min="5" max="5" width="9.453125" bestFit="1" customWidth="1"/>
    <col min="6" max="6" width="9.1796875" bestFit="1" customWidth="1"/>
    <col min="7" max="7" width="9.7265625" bestFit="1" customWidth="1"/>
    <col min="8" max="8" width="9.81640625" bestFit="1" customWidth="1"/>
    <col min="9" max="9" width="11.26953125" bestFit="1" customWidth="1"/>
  </cols>
  <sheetData>
    <row r="1" spans="1:12" ht="28" customHeight="1" x14ac:dyDescent="0.35">
      <c r="A1" s="14" t="s">
        <v>39</v>
      </c>
      <c r="B1" s="14"/>
      <c r="C1" s="14"/>
      <c r="D1" s="14"/>
      <c r="E1" s="14"/>
      <c r="F1" s="14"/>
      <c r="G1" s="14"/>
      <c r="H1" s="16" t="s">
        <v>37</v>
      </c>
      <c r="I1" s="16" t="s">
        <v>42</v>
      </c>
    </row>
    <row r="2" spans="1:12" ht="18" customHeight="1" x14ac:dyDescent="0.35">
      <c r="A2" s="25" t="s">
        <v>0</v>
      </c>
      <c r="B2" s="26"/>
      <c r="C2" s="26"/>
      <c r="D2" s="26"/>
      <c r="E2" s="26"/>
      <c r="F2" s="26"/>
      <c r="G2" s="26"/>
      <c r="H2" s="26"/>
      <c r="I2" s="26"/>
    </row>
    <row r="3" spans="1:12" ht="6" customHeight="1" thickBot="1" x14ac:dyDescent="0.4">
      <c r="A3" s="2"/>
      <c r="B3" s="2"/>
      <c r="C3" s="2"/>
      <c r="D3" s="2"/>
      <c r="E3" s="2"/>
      <c r="F3" s="2"/>
      <c r="G3" s="2"/>
      <c r="H3" s="2"/>
      <c r="I3" s="2"/>
    </row>
    <row r="4" spans="1:12" ht="29" customHeight="1" x14ac:dyDescent="0.35">
      <c r="A4" s="13" t="s">
        <v>32</v>
      </c>
      <c r="B4" s="3" t="s">
        <v>1</v>
      </c>
      <c r="C4" s="3" t="s">
        <v>38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</row>
    <row r="5" spans="1:12" ht="22" customHeight="1" x14ac:dyDescent="0.35">
      <c r="A5" s="4" t="s">
        <v>28</v>
      </c>
      <c r="B5" s="11">
        <v>0</v>
      </c>
      <c r="C5" s="11">
        <v>0</v>
      </c>
      <c r="D5" s="5">
        <v>3000</v>
      </c>
      <c r="E5" s="15">
        <v>1542</v>
      </c>
      <c r="F5" s="6">
        <f t="shared" ref="F5:F15" si="0">IF(COUNT(D5:E5)=0,"",IFERROR(E5/D5,""))</f>
        <v>0.51400000000000001</v>
      </c>
      <c r="G5" s="5">
        <v>23</v>
      </c>
      <c r="H5" s="5">
        <v>14.2</v>
      </c>
      <c r="I5" s="6">
        <f t="shared" ref="I5:I11" si="1">IF(COUNT(G5:H5)=0,"",IFERROR(H5/G5,""))</f>
        <v>0.61739130434782608</v>
      </c>
    </row>
    <row r="6" spans="1:12" ht="22" customHeight="1" x14ac:dyDescent="0.35">
      <c r="A6" s="7" t="s">
        <v>12</v>
      </c>
      <c r="B6" s="12">
        <v>0</v>
      </c>
      <c r="C6" s="12">
        <v>0</v>
      </c>
      <c r="D6" s="8">
        <v>2200</v>
      </c>
      <c r="E6" s="8">
        <v>1794</v>
      </c>
      <c r="F6" s="9">
        <f t="shared" si="0"/>
        <v>0.81545454545454543</v>
      </c>
      <c r="G6" s="8">
        <v>30</v>
      </c>
      <c r="H6" s="8">
        <v>22</v>
      </c>
      <c r="I6" s="9">
        <f t="shared" si="1"/>
        <v>0.73333333333333328</v>
      </c>
    </row>
    <row r="7" spans="1:12" ht="22" customHeight="1" x14ac:dyDescent="0.35">
      <c r="A7" s="4" t="s">
        <v>29</v>
      </c>
      <c r="B7" s="11">
        <v>0</v>
      </c>
      <c r="C7" s="11">
        <v>0</v>
      </c>
      <c r="D7" s="5">
        <v>3000</v>
      </c>
      <c r="E7" s="5">
        <v>2831</v>
      </c>
      <c r="F7" s="6">
        <f t="shared" si="0"/>
        <v>0.94366666666666665</v>
      </c>
      <c r="G7" s="5">
        <v>30</v>
      </c>
      <c r="H7" s="5">
        <v>22</v>
      </c>
      <c r="I7" s="6">
        <f t="shared" si="1"/>
        <v>0.73333333333333328</v>
      </c>
    </row>
    <row r="8" spans="1:12" ht="22" customHeight="1" x14ac:dyDescent="0.35">
      <c r="A8" s="7" t="s">
        <v>14</v>
      </c>
      <c r="B8" s="12">
        <f>Source_Data!L4</f>
        <v>0</v>
      </c>
      <c r="C8" s="12">
        <v>1</v>
      </c>
      <c r="D8" s="8">
        <v>3200</v>
      </c>
      <c r="E8" s="8">
        <v>1446</v>
      </c>
      <c r="F8" s="9">
        <f t="shared" si="0"/>
        <v>0.45187500000000003</v>
      </c>
      <c r="G8" s="8">
        <v>27</v>
      </c>
      <c r="H8" s="8">
        <v>23.8</v>
      </c>
      <c r="I8" s="9">
        <f t="shared" si="1"/>
        <v>0.88148148148148153</v>
      </c>
      <c r="L8" s="21"/>
    </row>
    <row r="9" spans="1:12" ht="22" customHeight="1" x14ac:dyDescent="0.35">
      <c r="A9" s="4" t="s">
        <v>15</v>
      </c>
      <c r="B9" s="11">
        <f>Source_Data!O4</f>
        <v>0</v>
      </c>
      <c r="C9" s="11">
        <f>Source_Data!P4</f>
        <v>0</v>
      </c>
      <c r="D9" s="5">
        <v>0</v>
      </c>
      <c r="E9" s="5">
        <f>Source_Data!P6</f>
        <v>0</v>
      </c>
      <c r="F9" s="6" t="str">
        <f t="shared" si="0"/>
        <v/>
      </c>
      <c r="G9" s="5">
        <v>10</v>
      </c>
      <c r="H9" s="5">
        <v>7</v>
      </c>
      <c r="I9" s="6">
        <f t="shared" si="1"/>
        <v>0.7</v>
      </c>
    </row>
    <row r="10" spans="1:12" ht="22" customHeight="1" x14ac:dyDescent="0.35">
      <c r="A10" s="7" t="s">
        <v>41</v>
      </c>
      <c r="B10" s="12">
        <f>Source_Data!R4</f>
        <v>0</v>
      </c>
      <c r="C10" s="12">
        <f>Source_Data!S4</f>
        <v>0</v>
      </c>
      <c r="D10" s="8">
        <v>0</v>
      </c>
      <c r="E10" s="8">
        <f>Source_Data!S6</f>
        <v>0</v>
      </c>
      <c r="F10" s="9" t="str">
        <f t="shared" si="0"/>
        <v/>
      </c>
      <c r="G10" s="8">
        <v>10.61</v>
      </c>
      <c r="H10" s="8">
        <v>9.0500000000000007</v>
      </c>
      <c r="I10" s="9">
        <f t="shared" si="1"/>
        <v>0.85296889726672964</v>
      </c>
    </row>
    <row r="11" spans="1:12" ht="22" customHeight="1" x14ac:dyDescent="0.35">
      <c r="A11" s="4" t="s">
        <v>17</v>
      </c>
      <c r="B11" s="11">
        <f>Source_Data!U4</f>
        <v>0</v>
      </c>
      <c r="C11" s="11">
        <f>Source_Data!V4</f>
        <v>0</v>
      </c>
      <c r="D11" s="5">
        <v>240</v>
      </c>
      <c r="E11" s="5">
        <v>199.5</v>
      </c>
      <c r="F11" s="6">
        <f t="shared" si="0"/>
        <v>0.83125000000000004</v>
      </c>
      <c r="G11" s="5">
        <v>2.4</v>
      </c>
      <c r="H11" s="5">
        <v>2.4</v>
      </c>
      <c r="I11" s="6">
        <f t="shared" si="1"/>
        <v>1</v>
      </c>
    </row>
    <row r="12" spans="1:12" ht="26" customHeight="1" x14ac:dyDescent="0.35">
      <c r="A12" s="13" t="s">
        <v>33</v>
      </c>
      <c r="B12" s="3" t="s">
        <v>1</v>
      </c>
      <c r="C12" s="3" t="s">
        <v>38</v>
      </c>
      <c r="D12" s="13" t="s">
        <v>34</v>
      </c>
      <c r="E12" s="13" t="s">
        <v>35</v>
      </c>
      <c r="F12" s="13" t="s">
        <v>36</v>
      </c>
      <c r="G12" s="3"/>
      <c r="H12" s="3"/>
      <c r="I12" s="3"/>
    </row>
    <row r="13" spans="1:12" ht="22" customHeight="1" x14ac:dyDescent="0.35">
      <c r="A13" s="7" t="s">
        <v>19</v>
      </c>
      <c r="B13" s="12">
        <f>Source_Data!X4</f>
        <v>0</v>
      </c>
      <c r="C13" s="12">
        <f>Source_Data!Y4</f>
        <v>0</v>
      </c>
      <c r="D13" s="8">
        <v>188.9</v>
      </c>
      <c r="E13" s="8">
        <v>119.3</v>
      </c>
      <c r="F13" s="9">
        <f t="shared" si="0"/>
        <v>0.63155108523028058</v>
      </c>
      <c r="G13" s="8"/>
      <c r="H13" s="8"/>
      <c r="I13" s="9"/>
    </row>
    <row r="14" spans="1:12" ht="22" customHeight="1" x14ac:dyDescent="0.35">
      <c r="A14" s="4" t="s">
        <v>30</v>
      </c>
      <c r="B14" s="11">
        <f>Source_Data!AA4</f>
        <v>0</v>
      </c>
      <c r="C14" s="11">
        <f>Source_Data!AB4</f>
        <v>0</v>
      </c>
      <c r="D14" s="5">
        <v>166</v>
      </c>
      <c r="E14" s="5">
        <v>157.19999999999999</v>
      </c>
      <c r="F14" s="6">
        <f t="shared" si="0"/>
        <v>0.94698795180722883</v>
      </c>
      <c r="G14" s="5"/>
      <c r="H14" s="5"/>
      <c r="I14" s="6"/>
    </row>
    <row r="15" spans="1:12" ht="22" customHeight="1" thickBot="1" x14ac:dyDescent="0.4">
      <c r="A15" s="17" t="s">
        <v>31</v>
      </c>
      <c r="B15" s="18">
        <f>Source_Data!AD4</f>
        <v>0</v>
      </c>
      <c r="C15" s="18">
        <f>Source_Data!AE4</f>
        <v>0</v>
      </c>
      <c r="D15" s="19">
        <v>170.2</v>
      </c>
      <c r="E15" s="19">
        <v>45.2</v>
      </c>
      <c r="F15" s="20">
        <f t="shared" si="0"/>
        <v>0.26556991774383082</v>
      </c>
      <c r="G15" s="19"/>
      <c r="H15" s="19"/>
      <c r="I15" s="20"/>
    </row>
    <row r="16" spans="1:12" ht="62" customHeight="1" thickBot="1" x14ac:dyDescent="0.4">
      <c r="A16" s="22" t="s">
        <v>40</v>
      </c>
      <c r="B16" s="23"/>
      <c r="C16" s="23"/>
      <c r="D16" s="23"/>
      <c r="E16" s="23"/>
      <c r="F16" s="23"/>
      <c r="G16" s="23"/>
      <c r="H16" s="23"/>
      <c r="I16" s="24"/>
    </row>
  </sheetData>
  <mergeCells count="2">
    <mergeCell ref="A16:I16"/>
    <mergeCell ref="A2:I2"/>
  </mergeCells>
  <conditionalFormatting sqref="F5:F11 F13:F15">
    <cfRule type="cellIs" dxfId="5" priority="4" operator="between">
      <formula>0</formula>
      <formula>0.6999</formula>
    </cfRule>
    <cfRule type="cellIs" dxfId="4" priority="5" operator="between">
      <formula>0.7</formula>
      <formula>0.8999</formula>
    </cfRule>
    <cfRule type="cellIs" dxfId="3" priority="6" operator="greaterThanOrEqual">
      <formula>0.9</formula>
    </cfRule>
  </conditionalFormatting>
  <conditionalFormatting sqref="I5:I11 I13:I15">
    <cfRule type="cellIs" dxfId="2" priority="7" operator="between">
      <formula>0</formula>
      <formula>0.6999</formula>
    </cfRule>
    <cfRule type="cellIs" dxfId="1" priority="8" operator="between">
      <formula>0.7</formula>
      <formula>0.8999</formula>
    </cfRule>
    <cfRule type="cellIs" dxfId="0" priority="9" operator="greaterThanOrEqual">
      <formula>0.9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546A"/>
  </sheetPr>
  <dimension ref="A1:AH12"/>
  <sheetViews>
    <sheetView workbookViewId="0">
      <selection activeCell="A10" sqref="A10:AF12"/>
    </sheetView>
  </sheetViews>
  <sheetFormatPr defaultRowHeight="14.5" x14ac:dyDescent="0.35"/>
  <cols>
    <col min="5" max="5" width="7.54296875" customWidth="1"/>
    <col min="6" max="6" width="7.453125" customWidth="1"/>
    <col min="24" max="24" width="10.26953125" customWidth="1"/>
    <col min="25" max="25" width="9.7265625" customWidth="1"/>
    <col min="26" max="26" width="10" customWidth="1"/>
    <col min="27" max="28" width="13.453125" customWidth="1"/>
    <col min="29" max="29" width="11.7265625" customWidth="1"/>
    <col min="30" max="30" width="12.81640625" customWidth="1"/>
    <col min="31" max="31" width="10.54296875" customWidth="1"/>
    <col min="32" max="32" width="9.81640625" customWidth="1"/>
  </cols>
  <sheetData>
    <row r="1" spans="1:34" ht="23.5" customHeight="1" x14ac:dyDescent="0.45">
      <c r="A1" s="48" t="s">
        <v>8</v>
      </c>
      <c r="B1" s="33"/>
      <c r="C1" s="33"/>
      <c r="D1" s="33"/>
      <c r="E1" s="34"/>
      <c r="F1" s="51" t="s">
        <v>9</v>
      </c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4"/>
      <c r="AH1" s="10" t="s">
        <v>10</v>
      </c>
    </row>
    <row r="2" spans="1:34" ht="22.5" customHeight="1" x14ac:dyDescent="0.45">
      <c r="A2" s="31"/>
      <c r="B2" s="32" t="s">
        <v>11</v>
      </c>
      <c r="C2" s="33"/>
      <c r="D2" s="34"/>
      <c r="E2" s="32" t="s">
        <v>12</v>
      </c>
      <c r="F2" s="33"/>
      <c r="G2" s="33"/>
      <c r="H2" s="34"/>
      <c r="I2" s="32" t="s">
        <v>13</v>
      </c>
      <c r="J2" s="33"/>
      <c r="K2" s="34"/>
      <c r="L2" s="32" t="s">
        <v>14</v>
      </c>
      <c r="M2" s="33"/>
      <c r="N2" s="34"/>
      <c r="O2" s="32" t="s">
        <v>15</v>
      </c>
      <c r="P2" s="33"/>
      <c r="Q2" s="34"/>
      <c r="R2" s="32" t="s">
        <v>16</v>
      </c>
      <c r="S2" s="33"/>
      <c r="T2" s="34"/>
      <c r="U2" s="32" t="s">
        <v>17</v>
      </c>
      <c r="V2" s="33"/>
      <c r="W2" s="34"/>
      <c r="X2" s="36" t="s">
        <v>18</v>
      </c>
      <c r="Y2" s="33"/>
      <c r="Z2" s="34"/>
      <c r="AA2" s="36" t="s">
        <v>19</v>
      </c>
      <c r="AB2" s="33"/>
      <c r="AC2" s="34"/>
      <c r="AD2" s="36" t="s">
        <v>20</v>
      </c>
      <c r="AE2" s="33"/>
      <c r="AF2" s="34"/>
    </row>
    <row r="3" spans="1:34" ht="22.5" customHeight="1" x14ac:dyDescent="0.45">
      <c r="A3" s="28"/>
      <c r="B3" s="1" t="s">
        <v>21</v>
      </c>
      <c r="C3" s="1" t="s">
        <v>22</v>
      </c>
      <c r="D3" s="1" t="s">
        <v>23</v>
      </c>
      <c r="E3" s="49" t="s">
        <v>21</v>
      </c>
      <c r="F3" s="34"/>
      <c r="G3" s="1" t="s">
        <v>22</v>
      </c>
      <c r="H3" s="1" t="s">
        <v>23</v>
      </c>
      <c r="I3" s="1" t="s">
        <v>21</v>
      </c>
      <c r="J3" s="1" t="s">
        <v>22</v>
      </c>
      <c r="K3" s="1" t="s">
        <v>23</v>
      </c>
      <c r="L3" s="1" t="s">
        <v>21</v>
      </c>
      <c r="M3" s="1" t="s">
        <v>22</v>
      </c>
      <c r="N3" s="1" t="s">
        <v>23</v>
      </c>
      <c r="O3" s="1" t="s">
        <v>21</v>
      </c>
      <c r="P3" s="1" t="s">
        <v>22</v>
      </c>
      <c r="Q3" s="1" t="s">
        <v>23</v>
      </c>
      <c r="R3" s="1" t="s">
        <v>21</v>
      </c>
      <c r="S3" s="1" t="s">
        <v>22</v>
      </c>
      <c r="T3" s="1" t="s">
        <v>23</v>
      </c>
      <c r="U3" s="1" t="s">
        <v>21</v>
      </c>
      <c r="V3" s="1" t="s">
        <v>22</v>
      </c>
      <c r="W3" s="1" t="s">
        <v>23</v>
      </c>
      <c r="X3" s="1" t="s">
        <v>21</v>
      </c>
      <c r="Y3" s="1" t="s">
        <v>22</v>
      </c>
      <c r="Z3" s="1" t="s">
        <v>23</v>
      </c>
      <c r="AA3" s="1" t="s">
        <v>21</v>
      </c>
      <c r="AB3" s="1" t="s">
        <v>22</v>
      </c>
      <c r="AC3" s="1" t="s">
        <v>23</v>
      </c>
      <c r="AD3" s="1" t="s">
        <v>21</v>
      </c>
      <c r="AE3" s="1" t="s">
        <v>22</v>
      </c>
      <c r="AF3" s="1" t="s">
        <v>23</v>
      </c>
    </row>
    <row r="4" spans="1:34" ht="20.5" customHeight="1" x14ac:dyDescent="0.35">
      <c r="A4" s="40" t="s">
        <v>24</v>
      </c>
      <c r="B4" s="35">
        <v>0</v>
      </c>
      <c r="C4" s="35">
        <v>0</v>
      </c>
      <c r="D4" s="35">
        <v>0</v>
      </c>
      <c r="E4" s="30">
        <v>0</v>
      </c>
      <c r="F4" s="37"/>
      <c r="G4" s="30">
        <v>0</v>
      </c>
      <c r="H4" s="30">
        <v>0</v>
      </c>
      <c r="I4" s="30">
        <v>0</v>
      </c>
      <c r="J4" s="30">
        <v>0</v>
      </c>
      <c r="K4" s="30">
        <v>0</v>
      </c>
      <c r="L4" s="30">
        <v>0</v>
      </c>
      <c r="M4" s="30">
        <v>0</v>
      </c>
      <c r="N4" s="30">
        <v>0</v>
      </c>
      <c r="O4" s="30">
        <v>0</v>
      </c>
      <c r="P4" s="30">
        <v>0</v>
      </c>
      <c r="Q4" s="30">
        <v>0</v>
      </c>
      <c r="R4" s="30">
        <v>0</v>
      </c>
      <c r="S4" s="30">
        <v>0</v>
      </c>
      <c r="T4" s="30">
        <v>0</v>
      </c>
      <c r="U4" s="30">
        <v>0</v>
      </c>
      <c r="V4" s="30">
        <v>0</v>
      </c>
      <c r="W4" s="30">
        <v>0</v>
      </c>
      <c r="X4" s="30"/>
      <c r="Y4" s="30"/>
      <c r="Z4" s="27"/>
      <c r="AA4" s="27"/>
      <c r="AB4" s="27"/>
      <c r="AC4" s="27"/>
      <c r="AD4" s="27"/>
      <c r="AE4" s="27"/>
      <c r="AF4" s="27"/>
    </row>
    <row r="5" spans="1:34" ht="18.649999999999999" customHeight="1" x14ac:dyDescent="0.35">
      <c r="A5" s="28"/>
      <c r="B5" s="28"/>
      <c r="C5" s="28"/>
      <c r="D5" s="28"/>
      <c r="E5" s="38"/>
      <c r="F5" s="3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</row>
    <row r="6" spans="1:34" ht="22.5" customHeight="1" x14ac:dyDescent="0.35">
      <c r="A6" s="50" t="s">
        <v>25</v>
      </c>
      <c r="B6" s="35">
        <v>6000</v>
      </c>
      <c r="C6" s="30">
        <v>1500</v>
      </c>
      <c r="D6" s="30">
        <v>50</v>
      </c>
      <c r="E6" s="30">
        <v>2000</v>
      </c>
      <c r="F6" s="37"/>
      <c r="G6" s="30">
        <v>1200</v>
      </c>
      <c r="H6" s="30">
        <v>20.329999999999998</v>
      </c>
      <c r="I6" s="30">
        <v>3039</v>
      </c>
      <c r="J6" s="30">
        <v>2337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27"/>
      <c r="AA6" s="27"/>
      <c r="AB6" s="27"/>
      <c r="AC6" s="27"/>
      <c r="AD6" s="27"/>
      <c r="AE6" s="27"/>
      <c r="AF6" s="27"/>
    </row>
    <row r="7" spans="1:34" ht="22.5" customHeight="1" x14ac:dyDescent="0.35">
      <c r="A7" s="28"/>
      <c r="B7" s="28"/>
      <c r="C7" s="28"/>
      <c r="D7" s="28"/>
      <c r="E7" s="38"/>
      <c r="F7" s="39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</row>
    <row r="8" spans="1:34" ht="18.649999999999999" customHeight="1" x14ac:dyDescent="0.35">
      <c r="A8" s="41" t="s">
        <v>26</v>
      </c>
      <c r="B8" s="29"/>
      <c r="C8" s="29"/>
      <c r="D8" s="29"/>
      <c r="E8" s="29"/>
      <c r="F8" s="37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</row>
    <row r="9" spans="1:34" ht="30.65" customHeight="1" x14ac:dyDescent="0.35">
      <c r="A9" s="28"/>
      <c r="B9" s="28"/>
      <c r="C9" s="28"/>
      <c r="D9" s="28"/>
      <c r="E9" s="38"/>
      <c r="F9" s="39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</row>
    <row r="10" spans="1:34" ht="21" customHeight="1" x14ac:dyDescent="0.35">
      <c r="A10" s="42" t="s">
        <v>27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37"/>
    </row>
    <row r="11" spans="1:34" ht="21" customHeight="1" x14ac:dyDescent="0.35">
      <c r="A11" s="44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6"/>
    </row>
    <row r="12" spans="1:34" ht="21" customHeight="1" x14ac:dyDescent="0.35">
      <c r="A12" s="38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39"/>
    </row>
  </sheetData>
  <mergeCells count="108">
    <mergeCell ref="A1:E1"/>
    <mergeCell ref="P6:P7"/>
    <mergeCell ref="R6:R7"/>
    <mergeCell ref="A2:A3"/>
    <mergeCell ref="B6:B7"/>
    <mergeCell ref="D8:D9"/>
    <mergeCell ref="I2:K2"/>
    <mergeCell ref="H8:H9"/>
    <mergeCell ref="I6:I7"/>
    <mergeCell ref="C6:C7"/>
    <mergeCell ref="E2:H2"/>
    <mergeCell ref="E3:F3"/>
    <mergeCell ref="A6:A7"/>
    <mergeCell ref="Q4:Q5"/>
    <mergeCell ref="F1:AF1"/>
    <mergeCell ref="X2:Z2"/>
    <mergeCell ref="AA8:AA9"/>
    <mergeCell ref="N4:N5"/>
    <mergeCell ref="P4:P5"/>
    <mergeCell ref="D6:D7"/>
    <mergeCell ref="R4:R5"/>
    <mergeCell ref="T4:T5"/>
    <mergeCell ref="V4:V5"/>
    <mergeCell ref="H6:H7"/>
    <mergeCell ref="A10:AF12"/>
    <mergeCell ref="AC4:AC5"/>
    <mergeCell ref="AB8:AB9"/>
    <mergeCell ref="V6:V7"/>
    <mergeCell ref="X6:X7"/>
    <mergeCell ref="L8:L9"/>
    <mergeCell ref="D4:D5"/>
    <mergeCell ref="N8:N9"/>
    <mergeCell ref="P8:P9"/>
    <mergeCell ref="M6:M7"/>
    <mergeCell ref="Y6:Y7"/>
    <mergeCell ref="E4:F5"/>
    <mergeCell ref="AD6:AD7"/>
    <mergeCell ref="AF6:AF7"/>
    <mergeCell ref="AE8:AE9"/>
    <mergeCell ref="J4:J5"/>
    <mergeCell ref="L4:L5"/>
    <mergeCell ref="AD4:AD5"/>
    <mergeCell ref="J8:J9"/>
    <mergeCell ref="AE4:AE5"/>
    <mergeCell ref="AD8:AD9"/>
    <mergeCell ref="K6:K7"/>
    <mergeCell ref="U6:U7"/>
    <mergeCell ref="W6:W7"/>
    <mergeCell ref="A4:A5"/>
    <mergeCell ref="K8:K9"/>
    <mergeCell ref="K4:K5"/>
    <mergeCell ref="T6:T7"/>
    <mergeCell ref="A8:A9"/>
    <mergeCell ref="C8:C9"/>
    <mergeCell ref="U8:U9"/>
    <mergeCell ref="X4:X5"/>
    <mergeCell ref="W8:W9"/>
    <mergeCell ref="M8:M9"/>
    <mergeCell ref="O8:O9"/>
    <mergeCell ref="L6:L7"/>
    <mergeCell ref="N6:N7"/>
    <mergeCell ref="E8:F9"/>
    <mergeCell ref="B4:B5"/>
    <mergeCell ref="AC8:AC9"/>
    <mergeCell ref="AF4:AF5"/>
    <mergeCell ref="J6:J7"/>
    <mergeCell ref="U2:W2"/>
    <mergeCell ref="B8:B9"/>
    <mergeCell ref="R2:T2"/>
    <mergeCell ref="AD2:AF2"/>
    <mergeCell ref="Z6:Z7"/>
    <mergeCell ref="AB6:AB7"/>
    <mergeCell ref="H4:H5"/>
    <mergeCell ref="R8:R9"/>
    <mergeCell ref="E6:F7"/>
    <mergeCell ref="B2:D2"/>
    <mergeCell ref="O2:Q2"/>
    <mergeCell ref="AA2:AC2"/>
    <mergeCell ref="G4:G5"/>
    <mergeCell ref="I4:I5"/>
    <mergeCell ref="AF8:AF9"/>
    <mergeCell ref="AC6:AC7"/>
    <mergeCell ref="S4:S5"/>
    <mergeCell ref="AE6:AE7"/>
    <mergeCell ref="U4:U5"/>
    <mergeCell ref="M4:M5"/>
    <mergeCell ref="W4:W5"/>
    <mergeCell ref="AB4:AB5"/>
    <mergeCell ref="Q8:Q9"/>
    <mergeCell ref="S8:S9"/>
    <mergeCell ref="V8:V9"/>
    <mergeCell ref="Y4:Y5"/>
    <mergeCell ref="X8:X9"/>
    <mergeCell ref="O6:O7"/>
    <mergeCell ref="L2:N2"/>
    <mergeCell ref="C4:C5"/>
    <mergeCell ref="O4:O5"/>
    <mergeCell ref="AA6:AA7"/>
    <mergeCell ref="G8:G9"/>
    <mergeCell ref="AA4:AA5"/>
    <mergeCell ref="Z8:Z9"/>
    <mergeCell ref="G6:G7"/>
    <mergeCell ref="T8:T9"/>
    <mergeCell ref="Q6:Q7"/>
    <mergeCell ref="S6:S7"/>
    <mergeCell ref="I8:I9"/>
    <mergeCell ref="Z4:Z5"/>
    <mergeCell ref="Y8:Y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Management_Dashboard</vt:lpstr>
      <vt:lpstr>Source_Data</vt:lpstr>
      <vt:lpstr>Management_Dashboard!Print_Titles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HSE HO</cp:lastModifiedBy>
  <dcterms:created xsi:type="dcterms:W3CDTF">2026-04-03T06:56:38Z</dcterms:created>
  <dcterms:modified xsi:type="dcterms:W3CDTF">2026-04-13T05:46:32Z</dcterms:modified>
</cp:coreProperties>
</file>